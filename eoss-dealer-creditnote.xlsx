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it N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16.83203125" customWidth="1"/>
    <col min="2" max="2" width="10.83203125" customWidth="1"/>
    <col min="3" max="3" width="11.83203125" customWidth="1"/>
    <col min="4" max="4" width="7.83203125" customWidth="1"/>
    <col min="5" max="5" width="22.83203125" customWidth="1"/>
    <col min="6" max="6" width="24.83203125" customWidth="1"/>
    <col min="7" max="7" width="10.83203125" customWidth="1"/>
    <col min="8" max="8" width="18.83203125" customWidth="1"/>
    <col min="9" max="9" width="11.83203125" customWidth="1"/>
    <col min="10" max="10" width="12.83203125" customWidth="1"/>
    <col min="11" max="11" width="2.83203125" customWidth="1"/>
    <col min="12" max="12" width="18.83203125" customWidth="1"/>
    <col min="13" max="13" width="16.83203125" customWidth="1"/>
  </cols>
  <sheetData>
    <row r="1">
      <c r="A1" t="str">
        <v>EOSS — Dealer Credit-Note Calculator</v>
      </c>
    </row>
    <row r="2">
      <c r="A2" t="str">
        <v>EOSS Start:</v>
      </c>
      <c r="B2" t="str">
        <v/>
      </c>
      <c r="D2" t="str">
        <v>EOSS End:</v>
      </c>
      <c r="E2" t="str">
        <v/>
      </c>
    </row>
    <row r="3">
      <c r="A3" t="str">
        <v>Margin %:</v>
      </c>
      <c r="B3" s="1">
        <v>0.3</v>
      </c>
      <c r="D3" t="str">
        <v>Base (NRP/MRP):</v>
      </c>
      <c r="E3" t="str">
        <v>NRP</v>
      </c>
    </row>
    <row r="4">
      <c r="A4" t="str">
        <v>Clamp negative credits to 0?</v>
      </c>
      <c r="B4" t="str">
        <v>Yes</v>
      </c>
    </row>
    <row r="5">
      <c r="A5" t="str">
        <v>Credit note = (old cost net GST) − (new cost = NRP_new × (1 − margin)).  Margin is % of NRP/selling price.</v>
      </c>
    </row>
    <row r="6">
      <c r="A6" t="str">
        <v>NRP_new = price if Base=NRP, else price ÷ (1+GST) if Base=MRP.  GST% is per-line (col D), used only for MRP base.</v>
      </c>
    </row>
    <row r="7">
      <c r="A7" t="str">
        <v>Dealer</v>
      </c>
      <c r="B7" t="str">
        <v>SKU</v>
      </c>
      <c r="C7" t="str">
        <v>Qty (EOSS)</v>
      </c>
      <c r="D7" t="str">
        <v>GST %</v>
      </c>
      <c r="E7" t="str">
        <v>Old cost/unit (net GST)</v>
      </c>
      <c r="F7" t="str">
        <v>New price/unit (per Base)</v>
      </c>
      <c r="G7" t="str">
        <v>NRP new</v>
      </c>
      <c r="H7" t="str">
        <v>New cost/unit (net)</v>
      </c>
      <c r="I7" t="str">
        <v>Credit/unit</v>
      </c>
      <c r="J7" t="str">
        <v>Line credit</v>
      </c>
      <c r="L7" t="str">
        <v>Dealer</v>
      </c>
      <c r="M7" t="str">
        <v>Credit note (₹)</v>
      </c>
    </row>
    <row r="8">
      <c r="A8" t="str">
        <v>Example Dealer</v>
      </c>
      <c r="B8" t="str">
        <v>SKU-1</v>
      </c>
      <c r="C8">
        <v>10</v>
      </c>
      <c r="D8">
        <v/>
      </c>
      <c r="E8">
        <v>600</v>
      </c>
      <c r="F8">
        <v>800</v>
      </c>
      <c r="G8">
        <f>IF(F8="","",IF($E$3="MRP",F8/(1+D8),F8))</f>
        <v>0</v>
      </c>
      <c r="H8">
        <f>IF(G8="","",G8*(1-$B$3))</f>
        <v>0</v>
      </c>
      <c r="I8">
        <f>IF(H8="","",IF($B$4="Yes",MAX(0,E8-H8),E8-H8))</f>
        <v>0</v>
      </c>
      <c r="J8">
        <f>IF(I8="","",I8*C8)</f>
        <v>0</v>
      </c>
      <c r="L8" t="str">
        <v/>
      </c>
      <c r="M8">
        <f>IF(L8="","",SUMIF($A$8:$A$27,L8,$J$8:$J$27))</f>
        <v>0</v>
      </c>
    </row>
    <row r="9">
      <c r="G9">
        <f>IF(F9="","",IF($E$3="MRP",F9/(1+D9),F9))</f>
        <v>0</v>
      </c>
      <c r="H9">
        <f>IF(G9="","",G9*(1-$B$3))</f>
        <v>0</v>
      </c>
      <c r="I9">
        <f>IF(H9="","",IF($B$4="Yes",MAX(0,E9-H9),E9-H9))</f>
        <v>0</v>
      </c>
      <c r="J9">
        <f>IF(I9="","",I9*C9)</f>
        <v>0</v>
      </c>
      <c r="L9" t="str">
        <v/>
      </c>
      <c r="M9">
        <f>IF(L9="","",SUMIF($A$8:$A$27,L9,$J$8:$J$27))</f>
        <v>0</v>
      </c>
    </row>
    <row r="10">
      <c r="G10">
        <f>IF(F10="","",IF($E$3="MRP",F10/(1+D10),F10))</f>
        <v>0</v>
      </c>
      <c r="H10">
        <f>IF(G10="","",G10*(1-$B$3))</f>
        <v>0</v>
      </c>
      <c r="I10">
        <f>IF(H10="","",IF($B$4="Yes",MAX(0,E10-H10),E10-H10))</f>
        <v>0</v>
      </c>
      <c r="J10">
        <f>IF(I10="","",I10*C10)</f>
        <v>0</v>
      </c>
      <c r="L10" t="str">
        <v/>
      </c>
      <c r="M10">
        <f>IF(L10="","",SUMIF($A$8:$A$27,L10,$J$8:$J$27))</f>
        <v>0</v>
      </c>
    </row>
    <row r="11">
      <c r="G11">
        <f>IF(F11="","",IF($E$3="MRP",F11/(1+D11),F11))</f>
        <v>0</v>
      </c>
      <c r="H11">
        <f>IF(G11="","",G11*(1-$B$3))</f>
        <v>0</v>
      </c>
      <c r="I11">
        <f>IF(H11="","",IF($B$4="Yes",MAX(0,E11-H11),E11-H11))</f>
        <v>0</v>
      </c>
      <c r="J11">
        <f>IF(I11="","",I11*C11)</f>
        <v>0</v>
      </c>
      <c r="L11" t="str">
        <v/>
      </c>
      <c r="M11">
        <f>IF(L11="","",SUMIF($A$8:$A$27,L11,$J$8:$J$27))</f>
        <v>0</v>
      </c>
    </row>
    <row r="12">
      <c r="G12">
        <f>IF(F12="","",IF($E$3="MRP",F12/(1+D12),F12))</f>
        <v>0</v>
      </c>
      <c r="H12">
        <f>IF(G12="","",G12*(1-$B$3))</f>
        <v>0</v>
      </c>
      <c r="I12">
        <f>IF(H12="","",IF($B$4="Yes",MAX(0,E12-H12),E12-H12))</f>
        <v>0</v>
      </c>
      <c r="J12">
        <f>IF(I12="","",I12*C12)</f>
        <v>0</v>
      </c>
      <c r="L12" t="str">
        <v/>
      </c>
      <c r="M12">
        <f>IF(L12="","",SUMIF($A$8:$A$27,L12,$J$8:$J$27))</f>
        <v>0</v>
      </c>
    </row>
    <row r="13">
      <c r="G13">
        <f>IF(F13="","",IF($E$3="MRP",F13/(1+D13),F13))</f>
        <v>0</v>
      </c>
      <c r="H13">
        <f>IF(G13="","",G13*(1-$B$3))</f>
        <v>0</v>
      </c>
      <c r="I13">
        <f>IF(H13="","",IF($B$4="Yes",MAX(0,E13-H13),E13-H13))</f>
        <v>0</v>
      </c>
      <c r="J13">
        <f>IF(I13="","",I13*C13)</f>
        <v>0</v>
      </c>
      <c r="L13" t="str">
        <v/>
      </c>
      <c r="M13">
        <f>IF(L13="","",SUMIF($A$8:$A$27,L13,$J$8:$J$27))</f>
        <v>0</v>
      </c>
    </row>
    <row r="14">
      <c r="G14">
        <f>IF(F14="","",IF($E$3="MRP",F14/(1+D14),F14))</f>
        <v>0</v>
      </c>
      <c r="H14">
        <f>IF(G14="","",G14*(1-$B$3))</f>
        <v>0</v>
      </c>
      <c r="I14">
        <f>IF(H14="","",IF($B$4="Yes",MAX(0,E14-H14),E14-H14))</f>
        <v>0</v>
      </c>
      <c r="J14">
        <f>IF(I14="","",I14*C14)</f>
        <v>0</v>
      </c>
    </row>
    <row r="15">
      <c r="G15">
        <f>IF(F15="","",IF($E$3="MRP",F15/(1+D15),F15))</f>
        <v>0</v>
      </c>
      <c r="H15">
        <f>IF(G15="","",G15*(1-$B$3))</f>
        <v>0</v>
      </c>
      <c r="I15">
        <f>IF(H15="","",IF($B$4="Yes",MAX(0,E15-H15),E15-H15))</f>
        <v>0</v>
      </c>
      <c r="J15">
        <f>IF(I15="","",I15*C15)</f>
        <v>0</v>
      </c>
      <c r="L15" t="str">
        <v>Tip: type each dealer name in column L; their total credit note auto-sums.</v>
      </c>
    </row>
    <row r="16">
      <c r="G16">
        <f>IF(F16="","",IF($E$3="MRP",F16/(1+D16),F16))</f>
        <v>0</v>
      </c>
      <c r="H16">
        <f>IF(G16="","",G16*(1-$B$3))</f>
        <v>0</v>
      </c>
      <c r="I16">
        <f>IF(H16="","",IF($B$4="Yes",MAX(0,E16-H16),E16-H16))</f>
        <v>0</v>
      </c>
      <c r="J16">
        <f>IF(I16="","",I16*C16)</f>
        <v>0</v>
      </c>
    </row>
    <row r="17">
      <c r="G17">
        <f>IF(F17="","",IF($E$3="MRP",F17/(1+D17),F17))</f>
        <v>0</v>
      </c>
      <c r="H17">
        <f>IF(G17="","",G17*(1-$B$3))</f>
        <v>0</v>
      </c>
      <c r="I17">
        <f>IF(H17="","",IF($B$4="Yes",MAX(0,E17-H17),E17-H17))</f>
        <v>0</v>
      </c>
      <c r="J17">
        <f>IF(I17="","",I17*C17)</f>
        <v>0</v>
      </c>
    </row>
    <row r="18">
      <c r="G18">
        <f>IF(F18="","",IF($E$3="MRP",F18/(1+D18),F18))</f>
        <v>0</v>
      </c>
      <c r="H18">
        <f>IF(G18="","",G18*(1-$B$3))</f>
        <v>0</v>
      </c>
      <c r="I18">
        <f>IF(H18="","",IF($B$4="Yes",MAX(0,E18-H18),E18-H18))</f>
        <v>0</v>
      </c>
      <c r="J18">
        <f>IF(I18="","",I18*C18)</f>
        <v>0</v>
      </c>
    </row>
    <row r="19">
      <c r="G19">
        <f>IF(F19="","",IF($E$3="MRP",F19/(1+D19),F19))</f>
        <v>0</v>
      </c>
      <c r="H19">
        <f>IF(G19="","",G19*(1-$B$3))</f>
        <v>0</v>
      </c>
      <c r="I19">
        <f>IF(H19="","",IF($B$4="Yes",MAX(0,E19-H19),E19-H19))</f>
        <v>0</v>
      </c>
      <c r="J19">
        <f>IF(I19="","",I19*C19)</f>
        <v>0</v>
      </c>
    </row>
    <row r="20">
      <c r="G20">
        <f>IF(F20="","",IF($E$3="MRP",F20/(1+D20),F20))</f>
        <v>0</v>
      </c>
      <c r="H20">
        <f>IF(G20="","",G20*(1-$B$3))</f>
        <v>0</v>
      </c>
      <c r="I20">
        <f>IF(H20="","",IF($B$4="Yes",MAX(0,E20-H20),E20-H20))</f>
        <v>0</v>
      </c>
      <c r="J20">
        <f>IF(I20="","",I20*C20)</f>
        <v>0</v>
      </c>
    </row>
    <row r="21">
      <c r="G21">
        <f>IF(F21="","",IF($E$3="MRP",F21/(1+D21),F21))</f>
        <v>0</v>
      </c>
      <c r="H21">
        <f>IF(G21="","",G21*(1-$B$3))</f>
        <v>0</v>
      </c>
      <c r="I21">
        <f>IF(H21="","",IF($B$4="Yes",MAX(0,E21-H21),E21-H21))</f>
        <v>0</v>
      </c>
      <c r="J21">
        <f>IF(I21="","",I21*C21)</f>
        <v>0</v>
      </c>
    </row>
    <row r="22">
      <c r="G22">
        <f>IF(F22="","",IF($E$3="MRP",F22/(1+D22),F22))</f>
        <v>0</v>
      </c>
      <c r="H22">
        <f>IF(G22="","",G22*(1-$B$3))</f>
        <v>0</v>
      </c>
      <c r="I22">
        <f>IF(H22="","",IF($B$4="Yes",MAX(0,E22-H22),E22-H22))</f>
        <v>0</v>
      </c>
      <c r="J22">
        <f>IF(I22="","",I22*C22)</f>
        <v>0</v>
      </c>
    </row>
    <row r="23">
      <c r="G23">
        <f>IF(F23="","",IF($E$3="MRP",F23/(1+D23),F23))</f>
        <v>0</v>
      </c>
      <c r="H23">
        <f>IF(G23="","",G23*(1-$B$3))</f>
        <v>0</v>
      </c>
      <c r="I23">
        <f>IF(H23="","",IF($B$4="Yes",MAX(0,E23-H23),E23-H23))</f>
        <v>0</v>
      </c>
      <c r="J23">
        <f>IF(I23="","",I23*C23)</f>
        <v>0</v>
      </c>
    </row>
    <row r="24">
      <c r="G24">
        <f>IF(F24="","",IF($E$3="MRP",F24/(1+D24),F24))</f>
        <v>0</v>
      </c>
      <c r="H24">
        <f>IF(G24="","",G24*(1-$B$3))</f>
        <v>0</v>
      </c>
      <c r="I24">
        <f>IF(H24="","",IF($B$4="Yes",MAX(0,E24-H24),E24-H24))</f>
        <v>0</v>
      </c>
      <c r="J24">
        <f>IF(I24="","",I24*C24)</f>
        <v>0</v>
      </c>
    </row>
    <row r="25">
      <c r="G25">
        <f>IF(F25="","",IF($E$3="MRP",F25/(1+D25),F25))</f>
        <v>0</v>
      </c>
      <c r="H25">
        <f>IF(G25="","",G25*(1-$B$3))</f>
        <v>0</v>
      </c>
      <c r="I25">
        <f>IF(H25="","",IF($B$4="Yes",MAX(0,E25-H25),E25-H25))</f>
        <v>0</v>
      </c>
      <c r="J25">
        <f>IF(I25="","",I25*C25)</f>
        <v>0</v>
      </c>
    </row>
    <row r="26">
      <c r="G26">
        <f>IF(F26="","",IF($E$3="MRP",F26/(1+D26),F26))</f>
        <v>0</v>
      </c>
      <c r="H26">
        <f>IF(G26="","",G26*(1-$B$3))</f>
        <v>0</v>
      </c>
      <c r="I26">
        <f>IF(H26="","",IF($B$4="Yes",MAX(0,E26-H26),E26-H26))</f>
        <v>0</v>
      </c>
      <c r="J26">
        <f>IF(I26="","",I26*C26)</f>
        <v>0</v>
      </c>
    </row>
    <row r="27">
      <c r="G27">
        <f>IF(F27="","",IF($E$3="MRP",F27/(1+D27),F27))</f>
        <v>0</v>
      </c>
      <c r="H27">
        <f>IF(G27="","",G27*(1-$B$3))</f>
        <v>0</v>
      </c>
      <c r="I27">
        <f>IF(H27="","",IF($B$4="Yes",MAX(0,E27-H27),E27-H27))</f>
        <v>0</v>
      </c>
      <c r="J27">
        <f>IF(I27="","",I27*C27)</f>
        <v>0</v>
      </c>
    </row>
    <row r="29">
      <c r="A29" t="str">
        <v>TOTAL CREDIT NOTE</v>
      </c>
      <c r="J29">
        <f>SUM(J8:J27)</f>
        <v>0</v>
      </c>
    </row>
  </sheetData>
  <ignoredErrors>
    <ignoredError numberStoredAsText="1" sqref="A1:M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